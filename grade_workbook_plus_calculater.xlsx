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1004953/Downloads/"/>
    </mc:Choice>
  </mc:AlternateContent>
  <xr:revisionPtr revIDLastSave="0" documentId="8_{4CA2F3ED-883D-DB47-81C8-EB630D882AB5}" xr6:coauthVersionLast="47" xr6:coauthVersionMax="47" xr10:uidLastSave="{00000000-0000-0000-0000-000000000000}"/>
  <bookViews>
    <workbookView xWindow="0" yWindow="0" windowWidth="28800" windowHeight="18000" activeTab="4" xr2:uid="{14F85899-1210-B148-8CD6-CA12EBDA61AB}"/>
  </bookViews>
  <sheets>
    <sheet name="grade_table" sheetId="2" r:id="rId1"/>
    <sheet name="Q1" sheetId="11" r:id="rId2"/>
    <sheet name="Q2" sheetId="12" r:id="rId3"/>
    <sheet name="Q3" sheetId="13" r:id="rId4"/>
    <sheet name="Q4" sheetId="9" r:id="rId5"/>
    <sheet name="qp_table" sheetId="3" r:id="rId6"/>
    <sheet name="quarter_grades" sheetId="4" r:id="rId7"/>
    <sheet name="Your_QP_tabl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9" l="1"/>
  <c r="H7" i="9"/>
  <c r="H6" i="9"/>
  <c r="H5" i="9"/>
  <c r="H4" i="9"/>
  <c r="L3" i="9" s="1"/>
  <c r="M3" i="9" s="1"/>
  <c r="K3" i="9"/>
  <c r="H3" i="9"/>
  <c r="H8" i="12"/>
  <c r="H7" i="12"/>
  <c r="H6" i="12"/>
  <c r="H5" i="12"/>
  <c r="H4" i="12"/>
  <c r="K3" i="12"/>
  <c r="H3" i="12"/>
  <c r="L3" i="12" s="1"/>
  <c r="M3" i="12" s="1"/>
  <c r="H8" i="11"/>
  <c r="H7" i="11"/>
  <c r="H6" i="11"/>
  <c r="H5" i="11"/>
  <c r="H4" i="11"/>
  <c r="L3" i="11"/>
  <c r="M3" i="11" s="1"/>
  <c r="K3" i="11"/>
  <c r="H3" i="11"/>
  <c r="K3" i="13"/>
  <c r="H8" i="13"/>
  <c r="H7" i="13"/>
  <c r="H6" i="13"/>
  <c r="H5" i="13"/>
  <c r="H4" i="13"/>
  <c r="H3" i="13"/>
  <c r="L3" i="13" l="1"/>
  <c r="M3" i="13" s="1"/>
  <c r="F6" i="2" l="1"/>
  <c r="C8" i="4"/>
  <c r="C9" i="4" s="1"/>
  <c r="D3" i="4"/>
  <c r="E3" i="4" s="1"/>
  <c r="D4" i="4"/>
  <c r="E4" i="4" s="1"/>
  <c r="D5" i="4"/>
  <c r="E5" i="4" s="1"/>
  <c r="D6" i="4"/>
  <c r="E6" i="4" s="1"/>
  <c r="F3" i="3"/>
  <c r="E8" i="4" l="1"/>
  <c r="E9" i="4" s="1"/>
</calcChain>
</file>

<file path=xl/sharedStrings.xml><?xml version="1.0" encoding="utf-8"?>
<sst xmlns="http://schemas.openxmlformats.org/spreadsheetml/2006/main" count="108" uniqueCount="41">
  <si>
    <t>Low</t>
  </si>
  <si>
    <t>Letter</t>
  </si>
  <si>
    <t>A</t>
  </si>
  <si>
    <t>B+</t>
  </si>
  <si>
    <t>B</t>
  </si>
  <si>
    <t>C+</t>
  </si>
  <si>
    <t>C</t>
  </si>
  <si>
    <t>D+</t>
  </si>
  <si>
    <t>D</t>
  </si>
  <si>
    <t>E</t>
  </si>
  <si>
    <t>High (exclusive)</t>
  </si>
  <si>
    <t>Number</t>
  </si>
  <si>
    <t>Letter Grade</t>
  </si>
  <si>
    <t>QP</t>
  </si>
  <si>
    <t>Quarter</t>
  </si>
  <si>
    <t>Grade</t>
  </si>
  <si>
    <t>Q1</t>
  </si>
  <si>
    <t>Q2</t>
  </si>
  <si>
    <t>Q3</t>
  </si>
  <si>
    <t>Q4</t>
  </si>
  <si>
    <t>Numeric Average</t>
  </si>
  <si>
    <t>Letter grade</t>
  </si>
  <si>
    <t>Duel Enrollment2</t>
  </si>
  <si>
    <t>QP High</t>
  </si>
  <si>
    <t>QP Low</t>
  </si>
  <si>
    <t>Total grade</t>
  </si>
  <si>
    <t>Formatives</t>
  </si>
  <si>
    <t>Sumitives</t>
  </si>
  <si>
    <t>Quiz</t>
  </si>
  <si>
    <t>Formative Grades</t>
  </si>
  <si>
    <t>Assignment Name</t>
  </si>
  <si>
    <t>Grade you got</t>
  </si>
  <si>
    <t>Summative Grades</t>
  </si>
  <si>
    <t>Calculated Totals</t>
  </si>
  <si>
    <t>Formative</t>
  </si>
  <si>
    <t>Summative</t>
  </si>
  <si>
    <t>Total</t>
  </si>
  <si>
    <t>Points</t>
  </si>
  <si>
    <t>Points Earned</t>
  </si>
  <si>
    <t>10</t>
  </si>
  <si>
    <t>9000%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</si>
</sst>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12501A"/>
        <bgColor rgb="FF12501A"/>
      </patternFill>
    </fill>
    <fill>
      <patternFill patternType="solid">
        <fgColor rgb="FF196B24"/>
        <bgColor rgb="FF196B2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medium">
        <color rgb="FFFFFFFF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/>
    <xf numFmtId="0" fontId="0" fillId="0" borderId="9" xfId="0" applyBorder="1"/>
    <xf numFmtId="0" fontId="2" fillId="3" borderId="10" xfId="0" applyFont="1" applyFill="1" applyBorder="1"/>
    <xf numFmtId="0" fontId="3" fillId="4" borderId="0" xfId="0" applyFont="1" applyFill="1"/>
    <xf numFmtId="0" fontId="3" fillId="5" borderId="0" xfId="0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96B24"/>
          <bgColor rgb="FF196B24"/>
        </patternFill>
      </fill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95A96F-2EE3-4240-91F8-DA69B12F1AD9}" name="Table2" displayName="Table2" ref="E2:H3" totalsRowShown="0">
  <autoFilter ref="E2:H3" xr:uid="{FB95A96F-2EE3-4240-91F8-DA69B12F1AD9}"/>
  <tableColumns count="4">
    <tableColumn id="1" xr3:uid="{2F3A1080-D02C-E242-94F6-5C455CAFA200}" name="Total grade"/>
    <tableColumn id="2" xr3:uid="{B91765BC-9348-9E4D-A3B3-396CF689BF05}" name="Formatives"/>
    <tableColumn id="3" xr3:uid="{F1988896-7A3C-C747-A922-792F115C9FFC}" name="Sumitives"/>
    <tableColumn id="4" xr3:uid="{725BBE9A-A77F-1249-92B3-A18DE995B99B}" name="Quiz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3825D96-9837-0D42-8A52-8DB5D08D10FF}" name="Table479172023" displayName="Table479172023" ref="B2:C9" totalsRowShown="0">
  <autoFilter ref="B2:C9" xr:uid="{33825D96-9837-0D42-8A52-8DB5D08D10FF}"/>
  <tableColumns count="2">
    <tableColumn id="1" xr3:uid="{5439E09A-7FD1-2549-AA24-F623E9047A18}" name="Assignment Name"/>
    <tableColumn id="2" xr3:uid="{91356690-8CB0-EF46-8F5B-EA4F22F0434A}" name="Grade you got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E95C4BF-0DDD-514B-9390-9D4ED91AEBD3}" name="Table5810182124" displayName="Table5810182124" ref="E2:H4" totalsRowCount="1">
  <autoFilter ref="E2:H3" xr:uid="{AE95C4BF-0DDD-514B-9390-9D4ED91AEBD3}"/>
  <tableColumns count="4">
    <tableColumn id="1" xr3:uid="{10981371-B7C9-3E42-B016-B99B8D9809D7}" name="Assignment Name"/>
    <tableColumn id="2" xr3:uid="{32334DF6-052D-E942-BC3A-0F6C0671E85C}" name="Grade you got" totalsRowLabel="9000%" totalsRowDxfId="2" dataCellStyle="Percent" totalsRowCellStyle="Percent"/>
    <tableColumn id="3" xr3:uid="{62EB5C69-F8F5-4948-9EB3-57D0F87BDFC3}" name="Points" totalsRowLabel="10"/>
    <tableColumn id="4" xr3:uid="{2C672AD3-1CA4-CB42-86BD-2D3F01414F43}" name="Points Earned" totalsRowFunction="custom">
      <calculatedColumnFormula>IF(OR(F3="",G3=""),"",F3/100*G3)</calculatedColumnFormula>
      <totalsRowFormula>IF(OR(F4="",G4=""),"",F4/100*G4)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1AAE215-0FDF-3A46-934E-F8714FC06EC3}" name="Table12192225" displayName="Table12192225" ref="K2:M3" totalsRowShown="0">
  <autoFilter ref="K2:M3" xr:uid="{E1AAE215-0FDF-3A46-934E-F8714FC06EC3}"/>
  <tableColumns count="3">
    <tableColumn id="1" xr3:uid="{1360343D-D793-8A4C-800D-172BE7BD955B}" name="Formative" dataCellStyle="Percent">
      <calculatedColumnFormula>IFERROR(AVERAGE(C4:C10),"")</calculatedColumnFormula>
    </tableColumn>
    <tableColumn id="2" xr3:uid="{FE402943-F37D-0045-A8A6-79829FCD3761}" name="Summative" dataCellStyle="Percent">
      <calculatedColumnFormula>SUM(H:H)/SUM(G:G)</calculatedColumnFormula>
    </tableColumn>
    <tableColumn id="3" xr3:uid="{71864CE1-1D2D-2840-8ACA-92DB42D33956}" name="Total">
      <calculatedColumnFormula>0.6*L3+0.4*K3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4B17130-B7B1-154C-9412-1E7D0259ADDF}" name="Table47917202329" displayName="Table47917202329" ref="B2:C9" totalsRowShown="0">
  <autoFilter ref="B2:C9" xr:uid="{74B17130-B7B1-154C-9412-1E7D0259ADDF}"/>
  <tableColumns count="2">
    <tableColumn id="1" xr3:uid="{5E18A63F-B291-974D-9A1F-F35EE3C11933}" name="Assignment Name"/>
    <tableColumn id="2" xr3:uid="{E3A15477-1E17-FE4C-ADD1-D718F5F3809F}" name="Grade you got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56319E3-7908-3A4F-B2F8-0AD175695DAE}" name="Table581018212430" displayName="Table581018212430" ref="E2:H4" totalsRowCount="1">
  <autoFilter ref="E2:H3" xr:uid="{556319E3-7908-3A4F-B2F8-0AD175695DAE}"/>
  <tableColumns count="4">
    <tableColumn id="1" xr3:uid="{ED499B1A-A4E9-6F4B-91D2-6F8FFB417EB1}" name="Assignment Name"/>
    <tableColumn id="2" xr3:uid="{7EDF754F-A885-AC43-93CD-515CD3047BDF}" name="Grade you got" totalsRowLabel="9000%" totalsRowDxfId="1" dataCellStyle="Percent" totalsRowCellStyle="Percent"/>
    <tableColumn id="3" xr3:uid="{42CC9573-DF5F-CD4C-B460-86F93941AFAA}" name="Points" totalsRowLabel="10"/>
    <tableColumn id="4" xr3:uid="{D5835D75-39A8-134C-9121-3A9EFD97DCF8}" name="Points Earned" totalsRowFunction="custom">
      <calculatedColumnFormula>IF(OR(F3="",G3=""),"",F3/100*G3)</calculatedColumnFormula>
      <totalsRowFormula>IF(OR(F4="",G4=""),"",F4/100*G4)</totalsRow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327A9B8-E140-E14B-9203-91D32062422D}" name="Table1219222531" displayName="Table1219222531" ref="K2:M3" totalsRowShown="0">
  <autoFilter ref="K2:M3" xr:uid="{F327A9B8-E140-E14B-9203-91D32062422D}"/>
  <tableColumns count="3">
    <tableColumn id="1" xr3:uid="{2638040B-E16A-A042-97CC-F101BB042EE0}" name="Formative" dataCellStyle="Percent">
      <calculatedColumnFormula>IFERROR(AVERAGE(C4:C10),"")</calculatedColumnFormula>
    </tableColumn>
    <tableColumn id="2" xr3:uid="{6B45BC5A-39CE-1945-8FDA-958C20292574}" name="Summative" dataCellStyle="Percent">
      <calculatedColumnFormula>SUM(H:H)/SUM(G:G)</calculatedColumnFormula>
    </tableColumn>
    <tableColumn id="3" xr3:uid="{306503AD-A141-2942-A8CF-50636B918F4E}" name="Total">
      <calculatedColumnFormula>0.6*L3+0.4*K3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0E33899-7F3C-B94B-B177-F6DE90135F4B}" name="Table4791720" displayName="Table4791720" ref="B2:C9" totalsRowShown="0">
  <autoFilter ref="B2:C9" xr:uid="{6ADEBBDF-4870-0C46-A924-EBC9C7C49F48}"/>
  <tableColumns count="2">
    <tableColumn id="1" xr3:uid="{B6AB53A7-7F91-6745-9F45-C31CEFF5BC9F}" name="Assignment Name"/>
    <tableColumn id="2" xr3:uid="{C0623F2B-40C9-E04F-B48C-897E0F72E644}" name="Grade you got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781BB6-6445-5F4A-B948-EA9F184F5C0B}" name="Table58101821" displayName="Table58101821" ref="E2:H4" totalsRowCount="1">
  <autoFilter ref="E2:H3" xr:uid="{602315C2-6998-374E-8838-4BE38F805DC8}"/>
  <tableColumns count="4">
    <tableColumn id="1" xr3:uid="{BBC6B0F9-0E99-D54C-BD56-30F09A92414B}" name="Assignment Name"/>
    <tableColumn id="2" xr3:uid="{8E179098-B6EF-A646-95CA-97FE25E4F72B}" name="Grade you got" totalsRowLabel="9000%" totalsRowDxfId="3" dataCellStyle="Percent" totalsRowCellStyle="Percent"/>
    <tableColumn id="3" xr3:uid="{18C26E53-6026-9241-B8A3-95C290507017}" name="Points" totalsRowLabel="10"/>
    <tableColumn id="4" xr3:uid="{DA0FDE34-FD52-3448-89A2-C19EB3D84EB8}" name="Points Earned" totalsRowFunction="custom">
      <calculatedColumnFormula>IF(OR(F3="",G3=""),"",F3/100*G3)</calculatedColumnFormula>
      <totalsRowFormula>IF(OR(F4="",G4=""),"",F4/100*G4)</totalsRow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A037BCA-0856-4E4D-A173-FCE51119F393}" name="Table121922" displayName="Table121922" ref="K2:M3" totalsRowShown="0">
  <autoFilter ref="K2:M3" xr:uid="{EE4DB2AC-4B8F-9B41-9014-39DFA1BBCAA7}"/>
  <tableColumns count="3">
    <tableColumn id="1" xr3:uid="{D2BFD365-FBEF-AC4F-8A11-655528814487}" name="Formative" dataCellStyle="Percent">
      <calculatedColumnFormula>IFERROR(AVERAGE(C4:C10),"")</calculatedColumnFormula>
    </tableColumn>
    <tableColumn id="2" xr3:uid="{047857A6-D54B-9B48-8588-AD385C7C70E1}" name="Summative" dataCellStyle="Percent">
      <calculatedColumnFormula>SUM(H:H)/SUM(G:G)</calculatedColumnFormula>
    </tableColumn>
    <tableColumn id="3" xr3:uid="{E17FEFEB-4E6E-7F44-BE8B-EE9BA9332E97}" name="Total">
      <calculatedColumnFormula>0.6*L3+0.4*K3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E30EE23-D50F-1A4B-8752-3F270BD52E30}" name="Table479172032" displayName="Table479172032" ref="B2:C9" totalsRowShown="0">
  <autoFilter ref="B2:C9" xr:uid="{DE30EE23-D50F-1A4B-8752-3F270BD52E30}"/>
  <tableColumns count="2">
    <tableColumn id="1" xr3:uid="{5A8C098C-38D6-5846-8683-35D054EB7D36}" name="Assignment Name"/>
    <tableColumn id="2" xr3:uid="{42F870F2-7264-6749-8385-99368436B58C}" name="Grade you got" dataCellStyle="Perc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1625636-6A1F-7641-BEAA-29566C95DBEE}" name="Table5810182133" displayName="Table5810182133" ref="E2:H4" totalsRowCount="1">
  <autoFilter ref="E2:H3" xr:uid="{21625636-6A1F-7641-BEAA-29566C95DBEE}"/>
  <tableColumns count="4">
    <tableColumn id="1" xr3:uid="{5265991A-0CB6-BA4B-BD4A-27FB9F24DDFC}" name="Assignment Name"/>
    <tableColumn id="2" xr3:uid="{837B4DEA-431B-8140-90EC-AF1426BB3C6B}" name="Grade you got" totalsRowLabel="9000%" totalsRowDxfId="0" dataCellStyle="Percent" totalsRowCellStyle="Percent"/>
    <tableColumn id="3" xr3:uid="{AF7FE643-1643-E748-AC40-8840F62189AD}" name="Points" totalsRowLabel="10"/>
    <tableColumn id="4" xr3:uid="{F50225EC-AD5E-3149-82B1-A97F692CCCFE}" name="Points Earned" totalsRowFunction="custom">
      <calculatedColumnFormula>IF(OR(F3="",G3=""),"",F3/100*G3)</calculatedColumnFormula>
      <totalsRowFormula>IF(OR(F4="",G4=""),"",F4/100*G4)</totalsRow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379F8B2-A766-3542-9B3B-4C5B5F56F8EA}" name="Table12192234" displayName="Table12192234" ref="K2:M3" totalsRowShown="0">
  <autoFilter ref="K2:M3" xr:uid="{A379F8B2-A766-3542-9B3B-4C5B5F56F8EA}"/>
  <tableColumns count="3">
    <tableColumn id="1" xr3:uid="{21A967DA-58ED-E142-B73A-63C414A744E0}" name="Formative" dataCellStyle="Percent">
      <calculatedColumnFormula>IFERROR(AVERAGE(C4:C10),"")</calculatedColumnFormula>
    </tableColumn>
    <tableColumn id="2" xr3:uid="{57225EF5-FB47-404F-96C1-C756CD1EB888}" name="Summative" dataCellStyle="Percent">
      <calculatedColumnFormula>SUM(H:H)/SUM(G:G)</calculatedColumnFormula>
    </tableColumn>
    <tableColumn id="3" xr3:uid="{577F9269-37C1-174C-A916-C4D3199B2FD8}" name="Total">
      <calculatedColumnFormula>0.6*L3+0.4*K3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FE872C-3245-BF42-A783-9BAD84C3D2E5}" name="Table3" displayName="Table3" ref="B2:E6" totalsRowShown="0" tableBorderDxfId="8">
  <autoFilter ref="B2:E6" xr:uid="{43FE872C-3245-BF42-A783-9BAD84C3D2E5}"/>
  <tableColumns count="4">
    <tableColumn id="1" xr3:uid="{51D46429-7FA7-3D41-9866-3844D315EDF3}" name="Quarter"/>
    <tableColumn id="2" xr3:uid="{1875630F-231A-2F45-9434-559A12D1E572}" name="Grade" dataDxfId="7"/>
    <tableColumn id="3" xr3:uid="{5AE68B18-D948-9549-92F8-D63288A76A76}" name="Letter" dataDxfId="6">
      <calculatedColumnFormula>VLOOKUP(Table3[[#This Row],[Grade]],grade_table!$A$2:$C$9,3,1)</calculatedColumnFormula>
    </tableColumn>
    <tableColumn id="4" xr3:uid="{C7365C41-5279-3E46-85FB-594F9EA91D5D}" name="QP" dataDxfId="5">
      <calculatedColumnFormula>VLOOKUP(Table3[[#This Row],[Letter]],qp_table!A$3:B$10,2)</calculatedColumnFormula>
    </tableColumn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FCF07-D4D0-784D-BE30-B0F8D35D0766}" name="Table1" displayName="Table1" ref="A1:D9" totalsRowShown="0">
  <autoFilter ref="A1:D9" xr:uid="{5EEFCF07-D4D0-784D-BE30-B0F8D35D0766}"/>
  <sortState xmlns:xlrd2="http://schemas.microsoft.com/office/spreadsheetml/2017/richdata2" ref="A2:D9">
    <sortCondition ref="A1:A9"/>
  </sortState>
  <tableColumns count="4">
    <tableColumn id="2" xr3:uid="{DFA4A193-BBE9-D541-B007-01E8E88C3721}" name="QP Low"/>
    <tableColumn id="1" xr3:uid="{E64605AD-2D33-234C-ADD2-BBAF5DD9DEFB}" name="Letter grade"/>
    <tableColumn id="3" xr3:uid="{EC91D253-2B82-244C-8E94-D0EA2775F336}" name="QP High" dataDxfId="4"/>
    <tableColumn id="4" xr3:uid="{CA39906D-DBCD-8E4A-A717-DF6AF001071E}" name="Duel Enrollment2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5A46-BC60-B948-93A7-4AA9C112DFD8}">
  <dimension ref="A1:H9"/>
  <sheetViews>
    <sheetView topLeftCell="B1" zoomScale="174" zoomScaleNormal="261" workbookViewId="0">
      <selection activeCell="E4" sqref="E4"/>
    </sheetView>
  </sheetViews>
  <sheetFormatPr baseColWidth="10" defaultRowHeight="16" x14ac:dyDescent="0.2"/>
  <cols>
    <col min="3" max="3" width="14" bestFit="1" customWidth="1"/>
  </cols>
  <sheetData>
    <row r="1" spans="1:8" x14ac:dyDescent="0.2">
      <c r="A1" s="6" t="s">
        <v>0</v>
      </c>
      <c r="B1" s="7" t="s">
        <v>10</v>
      </c>
      <c r="C1" s="8" t="s">
        <v>1</v>
      </c>
    </row>
    <row r="2" spans="1:8" x14ac:dyDescent="0.2">
      <c r="A2" s="1">
        <v>0</v>
      </c>
      <c r="B2">
        <v>59.5</v>
      </c>
      <c r="C2" s="2" t="s">
        <v>9</v>
      </c>
      <c r="E2" t="s">
        <v>25</v>
      </c>
      <c r="F2" t="s">
        <v>26</v>
      </c>
      <c r="G2" t="s">
        <v>27</v>
      </c>
      <c r="H2" t="s">
        <v>28</v>
      </c>
    </row>
    <row r="3" spans="1:8" x14ac:dyDescent="0.2">
      <c r="A3" s="1">
        <v>59.5</v>
      </c>
      <c r="B3">
        <v>66.5</v>
      </c>
      <c r="C3" s="2" t="s">
        <v>8</v>
      </c>
    </row>
    <row r="4" spans="1:8" x14ac:dyDescent="0.2">
      <c r="A4" s="1">
        <v>66.5</v>
      </c>
      <c r="B4">
        <v>69.5</v>
      </c>
      <c r="C4" s="2" t="s">
        <v>7</v>
      </c>
    </row>
    <row r="5" spans="1:8" x14ac:dyDescent="0.2">
      <c r="A5" s="1">
        <v>69.5</v>
      </c>
      <c r="B5">
        <v>76.5</v>
      </c>
      <c r="C5" s="2" t="s">
        <v>6</v>
      </c>
      <c r="E5" s="6" t="s">
        <v>11</v>
      </c>
      <c r="F5" s="8" t="s">
        <v>1</v>
      </c>
    </row>
    <row r="6" spans="1:8" x14ac:dyDescent="0.2">
      <c r="A6" s="1">
        <v>76.5</v>
      </c>
      <c r="B6">
        <v>79.5</v>
      </c>
      <c r="C6" s="2" t="s">
        <v>5</v>
      </c>
      <c r="E6" s="3">
        <v>100</v>
      </c>
      <c r="F6" s="5" t="str">
        <f>VLOOKUP(E6,A2:C9,3,1)</f>
        <v>A</v>
      </c>
    </row>
    <row r="7" spans="1:8" x14ac:dyDescent="0.2">
      <c r="A7" s="1">
        <v>79.5</v>
      </c>
      <c r="B7">
        <v>86.5</v>
      </c>
      <c r="C7" s="2" t="s">
        <v>4</v>
      </c>
    </row>
    <row r="8" spans="1:8" x14ac:dyDescent="0.2">
      <c r="A8" s="1">
        <v>86.5</v>
      </c>
      <c r="B8">
        <v>89.5</v>
      </c>
      <c r="C8" s="2" t="s">
        <v>3</v>
      </c>
    </row>
    <row r="9" spans="1:8" x14ac:dyDescent="0.2">
      <c r="A9" s="3">
        <v>89.5</v>
      </c>
      <c r="B9" s="4">
        <v>100</v>
      </c>
      <c r="C9" s="5" t="s">
        <v>2</v>
      </c>
    </row>
  </sheetData>
  <sortState xmlns:xlrd2="http://schemas.microsoft.com/office/spreadsheetml/2017/richdata2" ref="A2:C9">
    <sortCondition ref="A2:A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459D-B693-FA4B-BC17-8503C776BC25}">
  <dimension ref="B1:M14"/>
  <sheetViews>
    <sheetView workbookViewId="0">
      <selection activeCell="B17" sqref="B17"/>
    </sheetView>
  </sheetViews>
  <sheetFormatPr baseColWidth="10" defaultRowHeight="16" x14ac:dyDescent="0.2"/>
  <cols>
    <col min="2" max="2" width="19.5" customWidth="1"/>
    <col min="3" max="3" width="16.33203125" customWidth="1"/>
    <col min="5" max="5" width="19.1640625" customWidth="1"/>
    <col min="6" max="6" width="15.83203125" customWidth="1"/>
    <col min="8" max="9" width="11" customWidth="1"/>
  </cols>
  <sheetData>
    <row r="1" spans="2:13" x14ac:dyDescent="0.2">
      <c r="B1" t="s">
        <v>29</v>
      </c>
      <c r="C1" s="14"/>
      <c r="E1" t="s">
        <v>32</v>
      </c>
      <c r="F1" s="14"/>
      <c r="K1" t="s">
        <v>33</v>
      </c>
    </row>
    <row r="2" spans="2:13" x14ac:dyDescent="0.2">
      <c r="B2" t="s">
        <v>30</v>
      </c>
      <c r="C2" s="14" t="s">
        <v>31</v>
      </c>
      <c r="E2" t="s">
        <v>30</v>
      </c>
      <c r="F2" s="14" t="s">
        <v>31</v>
      </c>
      <c r="G2" t="s">
        <v>37</v>
      </c>
      <c r="H2" t="s">
        <v>38</v>
      </c>
      <c r="K2" t="s">
        <v>34</v>
      </c>
      <c r="L2" t="s">
        <v>35</v>
      </c>
      <c r="M2" t="s">
        <v>36</v>
      </c>
    </row>
    <row r="3" spans="2:13" x14ac:dyDescent="0.2">
      <c r="C3" s="14">
        <v>0.9</v>
      </c>
      <c r="F3" s="14">
        <v>0.9</v>
      </c>
      <c r="G3">
        <v>9</v>
      </c>
      <c r="H3">
        <f>IF(OR(F3="",G3=""),"",F3/100*G3)</f>
        <v>8.1000000000000016E-2</v>
      </c>
      <c r="K3" s="14">
        <f>IFERROR(AVERAGE(C4:C10),"")</f>
        <v>0.81</v>
      </c>
      <c r="L3" s="14">
        <f>SUM(H:H)/SUM(G:G)</f>
        <v>0.87852127659574475</v>
      </c>
      <c r="M3">
        <f>0.6*L3+0.4*K3</f>
        <v>0.85111276595744689</v>
      </c>
    </row>
    <row r="4" spans="2:13" x14ac:dyDescent="0.2">
      <c r="C4" s="14">
        <v>0.8</v>
      </c>
      <c r="F4" s="14" t="s">
        <v>40</v>
      </c>
      <c r="G4" t="s">
        <v>39</v>
      </c>
      <c r="H4">
        <f>IF(OR(F4="",G4=""),"",F4/100*G4)</f>
        <v>9</v>
      </c>
    </row>
    <row r="5" spans="2:13" x14ac:dyDescent="0.2">
      <c r="C5" s="14">
        <v>0.7</v>
      </c>
      <c r="F5" s="14">
        <v>90</v>
      </c>
      <c r="G5">
        <v>25</v>
      </c>
      <c r="H5">
        <f>IF(OR(F5="",G5=""),"",F5/100*G5)</f>
        <v>22.5</v>
      </c>
    </row>
    <row r="6" spans="2:13" x14ac:dyDescent="0.2">
      <c r="C6" s="14">
        <v>0.75</v>
      </c>
      <c r="F6" s="14">
        <v>85</v>
      </c>
      <c r="G6">
        <v>25</v>
      </c>
      <c r="H6">
        <f>IF(OR(F6="",G6=""),"",F6/100*G6)</f>
        <v>21.25</v>
      </c>
    </row>
    <row r="7" spans="2:13" x14ac:dyDescent="0.2">
      <c r="C7" s="14">
        <v>0.85</v>
      </c>
      <c r="F7" s="14">
        <v>89</v>
      </c>
      <c r="G7">
        <v>25</v>
      </c>
      <c r="H7">
        <f>IF(OR(F7="",G7=""),"",F7/100*G7)</f>
        <v>22.25</v>
      </c>
    </row>
    <row r="8" spans="2:13" x14ac:dyDescent="0.2">
      <c r="C8" s="14">
        <v>0.9</v>
      </c>
      <c r="F8" s="14">
        <v>75</v>
      </c>
      <c r="G8">
        <v>10</v>
      </c>
      <c r="H8">
        <f>IF(OR(F8="",G8=""),"",F8/100*G8)</f>
        <v>7.5</v>
      </c>
    </row>
    <row r="9" spans="2:13" x14ac:dyDescent="0.2">
      <c r="C9" s="14">
        <v>0.86</v>
      </c>
      <c r="F9" s="14"/>
    </row>
    <row r="10" spans="2:13" x14ac:dyDescent="0.2">
      <c r="C10" s="14"/>
      <c r="F10" s="14"/>
    </row>
    <row r="11" spans="2:13" x14ac:dyDescent="0.2">
      <c r="C11" s="14"/>
      <c r="F11" s="14"/>
    </row>
    <row r="12" spans="2:13" x14ac:dyDescent="0.2">
      <c r="C12" s="14"/>
      <c r="F12" s="14"/>
    </row>
    <row r="13" spans="2:13" x14ac:dyDescent="0.2">
      <c r="C13" s="14"/>
      <c r="F13" s="14"/>
    </row>
    <row r="14" spans="2:13" x14ac:dyDescent="0.2">
      <c r="C14" s="14"/>
      <c r="F14" s="1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3D56-74D6-3B4A-9560-7DFC6B0D5F3C}">
  <dimension ref="B1:M11"/>
  <sheetViews>
    <sheetView workbookViewId="0">
      <selection activeCell="D24" sqref="D24"/>
    </sheetView>
  </sheetViews>
  <sheetFormatPr baseColWidth="10" defaultRowHeight="16" x14ac:dyDescent="0.2"/>
  <cols>
    <col min="2" max="2" width="19.5" customWidth="1"/>
    <col min="3" max="3" width="16.33203125" customWidth="1"/>
    <col min="5" max="5" width="19.1640625" customWidth="1"/>
    <col min="6" max="6" width="15.83203125" customWidth="1"/>
    <col min="8" max="9" width="11" customWidth="1"/>
  </cols>
  <sheetData>
    <row r="1" spans="2:13" x14ac:dyDescent="0.2">
      <c r="B1" t="s">
        <v>29</v>
      </c>
      <c r="C1" s="14"/>
      <c r="E1" t="s">
        <v>32</v>
      </c>
      <c r="F1" s="14"/>
      <c r="K1" t="s">
        <v>33</v>
      </c>
    </row>
    <row r="2" spans="2:13" x14ac:dyDescent="0.2">
      <c r="B2" t="s">
        <v>30</v>
      </c>
      <c r="C2" s="14" t="s">
        <v>31</v>
      </c>
      <c r="E2" t="s">
        <v>30</v>
      </c>
      <c r="F2" s="14" t="s">
        <v>31</v>
      </c>
      <c r="G2" t="s">
        <v>37</v>
      </c>
      <c r="H2" t="s">
        <v>38</v>
      </c>
      <c r="K2" t="s">
        <v>34</v>
      </c>
      <c r="L2" t="s">
        <v>35</v>
      </c>
      <c r="M2" t="s">
        <v>36</v>
      </c>
    </row>
    <row r="3" spans="2:13" x14ac:dyDescent="0.2">
      <c r="C3" s="14">
        <v>0.9</v>
      </c>
      <c r="F3" s="14">
        <v>0.9</v>
      </c>
      <c r="G3">
        <v>9</v>
      </c>
      <c r="H3">
        <f>IF(OR(F3="",G3=""),"",F3/100*G3)</f>
        <v>8.1000000000000016E-2</v>
      </c>
      <c r="K3" s="14">
        <f>IFERROR(AVERAGE(C4:C10),"")</f>
        <v>0.81</v>
      </c>
      <c r="L3" s="14">
        <f>SUM(H:H)/SUM(G:G)</f>
        <v>0.87852127659574475</v>
      </c>
      <c r="M3">
        <f>0.6*L3+0.4*K3</f>
        <v>0.85111276595744689</v>
      </c>
    </row>
    <row r="4" spans="2:13" x14ac:dyDescent="0.2">
      <c r="C4" s="14">
        <v>0.8</v>
      </c>
      <c r="F4" s="14" t="s">
        <v>40</v>
      </c>
      <c r="G4" t="s">
        <v>39</v>
      </c>
      <c r="H4">
        <f>IF(OR(F4="",G4=""),"",F4/100*G4)</f>
        <v>9</v>
      </c>
    </row>
    <row r="5" spans="2:13" x14ac:dyDescent="0.2">
      <c r="C5" s="14">
        <v>0.7</v>
      </c>
      <c r="F5" s="14">
        <v>90</v>
      </c>
      <c r="G5">
        <v>25</v>
      </c>
      <c r="H5">
        <f>IF(OR(F5="",G5=""),"",F5/100*G5)</f>
        <v>22.5</v>
      </c>
    </row>
    <row r="6" spans="2:13" x14ac:dyDescent="0.2">
      <c r="C6" s="14">
        <v>0.75</v>
      </c>
      <c r="F6" s="14">
        <v>85</v>
      </c>
      <c r="G6">
        <v>25</v>
      </c>
      <c r="H6">
        <f>IF(OR(F6="",G6=""),"",F6/100*G6)</f>
        <v>21.25</v>
      </c>
    </row>
    <row r="7" spans="2:13" x14ac:dyDescent="0.2">
      <c r="C7" s="14">
        <v>0.85</v>
      </c>
      <c r="F7" s="14">
        <v>89</v>
      </c>
      <c r="G7">
        <v>25</v>
      </c>
      <c r="H7">
        <f>IF(OR(F7="",G7=""),"",F7/100*G7)</f>
        <v>22.25</v>
      </c>
    </row>
    <row r="8" spans="2:13" x14ac:dyDescent="0.2">
      <c r="C8" s="14">
        <v>0.9</v>
      </c>
      <c r="F8" s="14">
        <v>75</v>
      </c>
      <c r="G8">
        <v>10</v>
      </c>
      <c r="H8">
        <f>IF(OR(F8="",G8=""),"",F8/100*G8)</f>
        <v>7.5</v>
      </c>
    </row>
    <row r="9" spans="2:13" x14ac:dyDescent="0.2">
      <c r="C9" s="14">
        <v>0.86</v>
      </c>
      <c r="F9" s="14"/>
    </row>
    <row r="10" spans="2:13" x14ac:dyDescent="0.2">
      <c r="C10" s="14"/>
      <c r="F10" s="14"/>
    </row>
    <row r="11" spans="2:13" x14ac:dyDescent="0.2">
      <c r="C11" s="14"/>
      <c r="F11" s="1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9A2A-6951-3347-8554-10255A7A2278}">
  <dimension ref="B1:M9"/>
  <sheetViews>
    <sheetView workbookViewId="0">
      <selection activeCell="C20" sqref="C20"/>
    </sheetView>
  </sheetViews>
  <sheetFormatPr baseColWidth="10" defaultRowHeight="16" x14ac:dyDescent="0.2"/>
  <cols>
    <col min="2" max="2" width="19.5" customWidth="1"/>
    <col min="3" max="3" width="16.33203125" style="14" customWidth="1"/>
    <col min="5" max="5" width="21.33203125" customWidth="1"/>
    <col min="6" max="6" width="16.6640625" style="14" customWidth="1"/>
    <col min="8" max="8" width="18.1640625" customWidth="1"/>
    <col min="9" max="9" width="11" customWidth="1"/>
    <col min="11" max="11" width="13.83203125" customWidth="1"/>
    <col min="12" max="12" width="14.6640625" customWidth="1"/>
  </cols>
  <sheetData>
    <row r="1" spans="2:13" x14ac:dyDescent="0.2">
      <c r="B1" t="s">
        <v>29</v>
      </c>
      <c r="E1" t="s">
        <v>32</v>
      </c>
      <c r="K1" t="s">
        <v>33</v>
      </c>
    </row>
    <row r="2" spans="2:13" x14ac:dyDescent="0.2">
      <c r="B2" t="s">
        <v>30</v>
      </c>
      <c r="C2" s="14" t="s">
        <v>31</v>
      </c>
      <c r="E2" t="s">
        <v>30</v>
      </c>
      <c r="F2" s="14" t="s">
        <v>31</v>
      </c>
      <c r="G2" t="s">
        <v>37</v>
      </c>
      <c r="H2" t="s">
        <v>38</v>
      </c>
      <c r="K2" t="s">
        <v>34</v>
      </c>
      <c r="L2" t="s">
        <v>35</v>
      </c>
      <c r="M2" t="s">
        <v>36</v>
      </c>
    </row>
    <row r="3" spans="2:13" x14ac:dyDescent="0.2">
      <c r="C3" s="14">
        <v>0.9</v>
      </c>
      <c r="F3" s="14">
        <v>0.9</v>
      </c>
      <c r="G3">
        <v>9</v>
      </c>
      <c r="H3">
        <f>IF(OR(F3="",G3=""),"",F3/100*G3)</f>
        <v>8.1000000000000016E-2</v>
      </c>
      <c r="K3" s="14">
        <f>IFERROR(AVERAGE(C4:C10),"")</f>
        <v>0.81</v>
      </c>
      <c r="L3" s="14">
        <f>SUM(H:H)/SUM(G:G)</f>
        <v>0.87852127659574475</v>
      </c>
      <c r="M3">
        <f>0.6*L3+0.4*K3</f>
        <v>0.85111276595744689</v>
      </c>
    </row>
    <row r="4" spans="2:13" x14ac:dyDescent="0.2">
      <c r="C4" s="14">
        <v>0.8</v>
      </c>
      <c r="F4" s="14" t="s">
        <v>40</v>
      </c>
      <c r="G4" t="s">
        <v>39</v>
      </c>
      <c r="H4">
        <f>IF(OR(F4="",G4=""),"",F4/100*G4)</f>
        <v>9</v>
      </c>
    </row>
    <row r="5" spans="2:13" x14ac:dyDescent="0.2">
      <c r="C5" s="14">
        <v>0.7</v>
      </c>
      <c r="F5" s="14">
        <v>90</v>
      </c>
      <c r="G5">
        <v>25</v>
      </c>
      <c r="H5">
        <f>IF(OR(F5="",G5=""),"",F5/100*G5)</f>
        <v>22.5</v>
      </c>
    </row>
    <row r="6" spans="2:13" x14ac:dyDescent="0.2">
      <c r="C6" s="14">
        <v>0.75</v>
      </c>
      <c r="F6" s="14">
        <v>85</v>
      </c>
      <c r="G6">
        <v>25</v>
      </c>
      <c r="H6">
        <f>IF(OR(F6="",G6=""),"",F6/100*G6)</f>
        <v>21.25</v>
      </c>
    </row>
    <row r="7" spans="2:13" x14ac:dyDescent="0.2">
      <c r="C7" s="14">
        <v>0.85</v>
      </c>
      <c r="F7" s="14">
        <v>89</v>
      </c>
      <c r="G7">
        <v>25</v>
      </c>
      <c r="H7">
        <f>IF(OR(F7="",G7=""),"",F7/100*G7)</f>
        <v>22.25</v>
      </c>
    </row>
    <row r="8" spans="2:13" x14ac:dyDescent="0.2">
      <c r="C8" s="14">
        <v>0.9</v>
      </c>
      <c r="F8" s="14">
        <v>75</v>
      </c>
      <c r="G8">
        <v>10</v>
      </c>
      <c r="H8">
        <f>IF(OR(F8="",G8=""),"",F8/100*G8)</f>
        <v>7.5</v>
      </c>
    </row>
    <row r="9" spans="2:13" x14ac:dyDescent="0.2">
      <c r="C9" s="14">
        <v>0.86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AD03-BF1D-2B41-AD73-E1E11BA54CD3}">
  <dimension ref="B1:M11"/>
  <sheetViews>
    <sheetView tabSelected="1" workbookViewId="0">
      <selection activeCell="B16" sqref="B16"/>
    </sheetView>
  </sheetViews>
  <sheetFormatPr baseColWidth="10" defaultRowHeight="16" x14ac:dyDescent="0.2"/>
  <cols>
    <col min="2" max="2" width="19.5" customWidth="1"/>
    <col min="3" max="3" width="16.33203125" customWidth="1"/>
    <col min="5" max="5" width="19.1640625" customWidth="1"/>
    <col min="6" max="6" width="15.83203125" customWidth="1"/>
    <col min="8" max="9" width="11" customWidth="1"/>
  </cols>
  <sheetData>
    <row r="1" spans="2:13" x14ac:dyDescent="0.2">
      <c r="B1" t="s">
        <v>29</v>
      </c>
      <c r="C1" s="14"/>
      <c r="E1" t="s">
        <v>32</v>
      </c>
      <c r="F1" s="14"/>
      <c r="K1" t="s">
        <v>33</v>
      </c>
    </row>
    <row r="2" spans="2:13" x14ac:dyDescent="0.2">
      <c r="B2" t="s">
        <v>30</v>
      </c>
      <c r="C2" s="14" t="s">
        <v>31</v>
      </c>
      <c r="E2" t="s">
        <v>30</v>
      </c>
      <c r="F2" s="14" t="s">
        <v>31</v>
      </c>
      <c r="G2" t="s">
        <v>37</v>
      </c>
      <c r="H2" t="s">
        <v>38</v>
      </c>
      <c r="K2" t="s">
        <v>34</v>
      </c>
      <c r="L2" t="s">
        <v>35</v>
      </c>
      <c r="M2" t="s">
        <v>36</v>
      </c>
    </row>
    <row r="3" spans="2:13" x14ac:dyDescent="0.2">
      <c r="C3" s="14">
        <v>0.9</v>
      </c>
      <c r="F3" s="14">
        <v>0.9</v>
      </c>
      <c r="G3">
        <v>9</v>
      </c>
      <c r="H3">
        <f>IF(OR(F3="",G3=""),"",F3/100*G3)</f>
        <v>8.1000000000000016E-2</v>
      </c>
      <c r="K3" s="14">
        <f>IFERROR(AVERAGE(C4:C10),"")</f>
        <v>0.81</v>
      </c>
      <c r="L3" s="14">
        <f>SUM(H:H)/SUM(G:G)</f>
        <v>0.87852127659574475</v>
      </c>
      <c r="M3">
        <f>0.6*L3+0.4*K3</f>
        <v>0.85111276595744689</v>
      </c>
    </row>
    <row r="4" spans="2:13" x14ac:dyDescent="0.2">
      <c r="C4" s="14">
        <v>0.8</v>
      </c>
      <c r="F4" s="14" t="s">
        <v>40</v>
      </c>
      <c r="G4" t="s">
        <v>39</v>
      </c>
      <c r="H4">
        <f>IF(OR(F4="",G4=""),"",F4/100*G4)</f>
        <v>9</v>
      </c>
    </row>
    <row r="5" spans="2:13" x14ac:dyDescent="0.2">
      <c r="C5" s="14">
        <v>0.7</v>
      </c>
      <c r="F5" s="14">
        <v>90</v>
      </c>
      <c r="G5">
        <v>25</v>
      </c>
      <c r="H5">
        <f>IF(OR(F5="",G5=""),"",F5/100*G5)</f>
        <v>22.5</v>
      </c>
    </row>
    <row r="6" spans="2:13" x14ac:dyDescent="0.2">
      <c r="C6" s="14">
        <v>0.75</v>
      </c>
      <c r="F6" s="14">
        <v>85</v>
      </c>
      <c r="G6">
        <v>25</v>
      </c>
      <c r="H6">
        <f>IF(OR(F6="",G6=""),"",F6/100*G6)</f>
        <v>21.25</v>
      </c>
    </row>
    <row r="7" spans="2:13" x14ac:dyDescent="0.2">
      <c r="C7" s="14">
        <v>0.85</v>
      </c>
      <c r="F7" s="14">
        <v>89</v>
      </c>
      <c r="G7">
        <v>25</v>
      </c>
      <c r="H7">
        <f>IF(OR(F7="",G7=""),"",F7/100*G7)</f>
        <v>22.25</v>
      </c>
    </row>
    <row r="8" spans="2:13" x14ac:dyDescent="0.2">
      <c r="C8" s="14">
        <v>0.9</v>
      </c>
      <c r="F8" s="14">
        <v>75</v>
      </c>
      <c r="G8">
        <v>10</v>
      </c>
      <c r="H8">
        <f>IF(OR(F8="",G8=""),"",F8/100*G8)</f>
        <v>7.5</v>
      </c>
    </row>
    <row r="9" spans="2:13" x14ac:dyDescent="0.2">
      <c r="C9" s="14">
        <v>0.86</v>
      </c>
      <c r="F9" s="14"/>
    </row>
    <row r="10" spans="2:13" x14ac:dyDescent="0.2">
      <c r="C10" s="14"/>
      <c r="F10" s="14"/>
    </row>
    <row r="11" spans="2:13" x14ac:dyDescent="0.2">
      <c r="C11" s="14"/>
      <c r="F11" s="1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9646-542F-1E4B-816F-1E2EB10CABEC}">
  <dimension ref="A2:F10"/>
  <sheetViews>
    <sheetView zoomScale="278" zoomScaleNormal="278" workbookViewId="0">
      <selection activeCell="E3" sqref="E3"/>
    </sheetView>
  </sheetViews>
  <sheetFormatPr baseColWidth="10" defaultRowHeight="16" x14ac:dyDescent="0.2"/>
  <cols>
    <col min="3" max="3" width="5.33203125" customWidth="1"/>
    <col min="4" max="4" width="4.83203125" customWidth="1"/>
  </cols>
  <sheetData>
    <row r="2" spans="1:6" x14ac:dyDescent="0.2">
      <c r="A2" s="6" t="s">
        <v>12</v>
      </c>
      <c r="B2" s="8" t="s">
        <v>13</v>
      </c>
      <c r="E2" s="6" t="s">
        <v>1</v>
      </c>
      <c r="F2" s="8" t="s">
        <v>13</v>
      </c>
    </row>
    <row r="3" spans="1:6" x14ac:dyDescent="0.2">
      <c r="A3" s="1" t="s">
        <v>2</v>
      </c>
      <c r="B3" s="2">
        <v>4</v>
      </c>
      <c r="E3" s="3" t="s">
        <v>8</v>
      </c>
      <c r="F3" s="5">
        <f>_xlfn.XLOOKUP(E3,A3:A10,B3:B10)</f>
        <v>1</v>
      </c>
    </row>
    <row r="4" spans="1:6" x14ac:dyDescent="0.2">
      <c r="A4" s="1" t="s">
        <v>3</v>
      </c>
      <c r="B4" s="2">
        <v>3.5</v>
      </c>
    </row>
    <row r="5" spans="1:6" x14ac:dyDescent="0.2">
      <c r="A5" s="1" t="s">
        <v>4</v>
      </c>
      <c r="B5" s="2">
        <v>3</v>
      </c>
    </row>
    <row r="6" spans="1:6" x14ac:dyDescent="0.2">
      <c r="A6" s="1" t="s">
        <v>5</v>
      </c>
      <c r="B6" s="2">
        <v>2.5</v>
      </c>
    </row>
    <row r="7" spans="1:6" x14ac:dyDescent="0.2">
      <c r="A7" s="1" t="s">
        <v>6</v>
      </c>
      <c r="B7" s="2">
        <v>2</v>
      </c>
    </row>
    <row r="8" spans="1:6" x14ac:dyDescent="0.2">
      <c r="A8" s="1" t="s">
        <v>7</v>
      </c>
      <c r="B8" s="2">
        <v>1.5</v>
      </c>
    </row>
    <row r="9" spans="1:6" x14ac:dyDescent="0.2">
      <c r="A9" s="1" t="s">
        <v>8</v>
      </c>
      <c r="B9" s="2">
        <v>1</v>
      </c>
    </row>
    <row r="10" spans="1:6" x14ac:dyDescent="0.2">
      <c r="A10" s="3" t="s">
        <v>9</v>
      </c>
      <c r="B10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8245-437E-7F45-935D-3F9A175781CC}">
  <dimension ref="B2:E9"/>
  <sheetViews>
    <sheetView zoomScale="233" zoomScaleNormal="354" workbookViewId="0">
      <selection activeCell="C4" sqref="C4"/>
    </sheetView>
  </sheetViews>
  <sheetFormatPr baseColWidth="10" defaultRowHeight="16" x14ac:dyDescent="0.2"/>
  <cols>
    <col min="2" max="2" width="14.83203125" bestFit="1" customWidth="1"/>
  </cols>
  <sheetData>
    <row r="2" spans="2:5" x14ac:dyDescent="0.2">
      <c r="B2" s="7" t="s">
        <v>14</v>
      </c>
      <c r="C2" s="8" t="s">
        <v>15</v>
      </c>
      <c r="D2" s="9" t="s">
        <v>1</v>
      </c>
      <c r="E2" t="s">
        <v>13</v>
      </c>
    </row>
    <row r="3" spans="2:5" x14ac:dyDescent="0.2">
      <c r="B3" t="s">
        <v>16</v>
      </c>
      <c r="C3" s="2">
        <v>50</v>
      </c>
      <c r="D3" t="str">
        <f>VLOOKUP(Table3[[#This Row],[Grade]],grade_table!$A$2:$C$9,3,1)</f>
        <v>E</v>
      </c>
      <c r="E3">
        <f>VLOOKUP(Table3[[#This Row],[Letter]],qp_table!A$3:B$10,2)</f>
        <v>0</v>
      </c>
    </row>
    <row r="4" spans="2:5" x14ac:dyDescent="0.2">
      <c r="B4" t="s">
        <v>17</v>
      </c>
      <c r="C4" s="2">
        <v>100</v>
      </c>
      <c r="D4" t="str">
        <f>VLOOKUP(Table3[[#This Row],[Grade]],grade_table!$A$2:$C$9,3,1)</f>
        <v>A</v>
      </c>
      <c r="E4">
        <f>VLOOKUP(Table3[[#This Row],[Letter]],qp_table!A$3:B$10,2)</f>
        <v>4</v>
      </c>
    </row>
    <row r="5" spans="2:5" x14ac:dyDescent="0.2">
      <c r="B5" t="s">
        <v>18</v>
      </c>
      <c r="C5" s="2">
        <v>100</v>
      </c>
      <c r="D5" t="str">
        <f>VLOOKUP(Table3[[#This Row],[Grade]],grade_table!$A$2:$C$9,3,1)</f>
        <v>A</v>
      </c>
      <c r="E5">
        <f>VLOOKUP(Table3[[#This Row],[Letter]],qp_table!A$3:B$10,2)</f>
        <v>4</v>
      </c>
    </row>
    <row r="6" spans="2:5" x14ac:dyDescent="0.2">
      <c r="B6" s="4" t="s">
        <v>19</v>
      </c>
      <c r="C6" s="5">
        <v>100</v>
      </c>
      <c r="D6" t="str">
        <f>VLOOKUP(Table3[[#This Row],[Grade]],grade_table!$A$2:$C$9,3,1)</f>
        <v>A</v>
      </c>
      <c r="E6">
        <f>VLOOKUP(Table3[[#This Row],[Letter]],qp_table!A$3:B$10,2)</f>
        <v>4</v>
      </c>
    </row>
    <row r="8" spans="2:5" x14ac:dyDescent="0.2">
      <c r="B8" t="s">
        <v>20</v>
      </c>
      <c r="C8">
        <f>AVERAGE(C3:C6)</f>
        <v>87.5</v>
      </c>
      <c r="D8" s="10"/>
      <c r="E8">
        <f>AVERAGE(Table3[QP])</f>
        <v>3</v>
      </c>
    </row>
    <row r="9" spans="2:5" x14ac:dyDescent="0.2">
      <c r="B9" t="s">
        <v>1</v>
      </c>
      <c r="C9" t="str">
        <f>VLOOKUP(C8,grade_table!A2:C9,3,1)</f>
        <v>B+</v>
      </c>
      <c r="E9" t="str">
        <f>VLOOKUP(E8,Table1[[#All],[QP Low]:[QP High]],2,1)</f>
        <v>B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1DA2-84C5-C840-B6D6-1FBCBF6A77FA}">
  <dimension ref="A1:H19"/>
  <sheetViews>
    <sheetView zoomScale="175" workbookViewId="0">
      <selection activeCell="B1" sqref="B1:B1048576"/>
    </sheetView>
  </sheetViews>
  <sheetFormatPr baseColWidth="10" defaultRowHeight="16" x14ac:dyDescent="0.2"/>
  <cols>
    <col min="2" max="2" width="10.33203125" customWidth="1"/>
    <col min="3" max="3" width="11.5" customWidth="1"/>
    <col min="4" max="4" width="16.5" customWidth="1"/>
    <col min="5" max="5" width="14.1640625" customWidth="1"/>
  </cols>
  <sheetData>
    <row r="1" spans="1:8" ht="17" thickBot="1" x14ac:dyDescent="0.25">
      <c r="A1" t="s">
        <v>24</v>
      </c>
      <c r="B1" t="s">
        <v>21</v>
      </c>
      <c r="C1" s="11" t="s">
        <v>23</v>
      </c>
      <c r="D1" s="11" t="s">
        <v>22</v>
      </c>
    </row>
    <row r="2" spans="1:8" x14ac:dyDescent="0.2">
      <c r="A2">
        <v>0</v>
      </c>
      <c r="B2" t="s">
        <v>9</v>
      </c>
      <c r="C2" s="12">
        <v>0</v>
      </c>
      <c r="D2" s="13">
        <v>0</v>
      </c>
    </row>
    <row r="3" spans="1:8" x14ac:dyDescent="0.2">
      <c r="A3">
        <v>0.75</v>
      </c>
      <c r="B3" t="s">
        <v>8</v>
      </c>
      <c r="C3" s="13">
        <v>1</v>
      </c>
      <c r="D3" s="12">
        <v>2</v>
      </c>
    </row>
    <row r="4" spans="1:8" x14ac:dyDescent="0.2">
      <c r="A4">
        <v>1.25</v>
      </c>
      <c r="B4" t="s">
        <v>7</v>
      </c>
      <c r="C4" s="12">
        <v>1.5</v>
      </c>
      <c r="D4" s="13">
        <v>2.5</v>
      </c>
    </row>
    <row r="5" spans="1:8" x14ac:dyDescent="0.2">
      <c r="A5">
        <v>1.75</v>
      </c>
      <c r="B5" t="s">
        <v>6</v>
      </c>
      <c r="C5" s="13">
        <v>2</v>
      </c>
      <c r="D5" s="12">
        <v>3</v>
      </c>
    </row>
    <row r="6" spans="1:8" x14ac:dyDescent="0.2">
      <c r="A6">
        <v>2.25</v>
      </c>
      <c r="B6" t="s">
        <v>5</v>
      </c>
      <c r="C6" s="12">
        <v>2.5</v>
      </c>
      <c r="D6" s="13">
        <v>3.5</v>
      </c>
    </row>
    <row r="7" spans="1:8" x14ac:dyDescent="0.2">
      <c r="A7">
        <v>2.75</v>
      </c>
      <c r="B7" t="s">
        <v>4</v>
      </c>
      <c r="C7" s="13">
        <v>3</v>
      </c>
      <c r="D7" s="12">
        <v>4</v>
      </c>
    </row>
    <row r="8" spans="1:8" x14ac:dyDescent="0.2">
      <c r="A8">
        <v>3.25</v>
      </c>
      <c r="B8" t="s">
        <v>3</v>
      </c>
      <c r="C8" s="12">
        <v>3.5</v>
      </c>
      <c r="D8" s="13">
        <v>4.5</v>
      </c>
    </row>
    <row r="9" spans="1:8" ht="17" thickBot="1" x14ac:dyDescent="0.25">
      <c r="A9">
        <v>3.75</v>
      </c>
      <c r="B9" t="s">
        <v>2</v>
      </c>
      <c r="C9" s="13">
        <v>4</v>
      </c>
      <c r="D9" s="12">
        <v>5</v>
      </c>
      <c r="F9" s="11"/>
    </row>
    <row r="10" spans="1:8" ht="17" thickBot="1" x14ac:dyDescent="0.25">
      <c r="G10" s="13"/>
      <c r="H10" s="11"/>
    </row>
    <row r="11" spans="1:8" ht="17" thickBot="1" x14ac:dyDescent="0.25">
      <c r="F11" s="11"/>
      <c r="G11" s="12"/>
      <c r="H11" s="13"/>
    </row>
    <row r="12" spans="1:8" x14ac:dyDescent="0.2">
      <c r="F12" s="13"/>
      <c r="G12" s="13"/>
      <c r="H12" s="12"/>
    </row>
    <row r="13" spans="1:8" x14ac:dyDescent="0.2">
      <c r="F13" s="12"/>
      <c r="G13" s="12"/>
      <c r="H13" s="13"/>
    </row>
    <row r="14" spans="1:8" x14ac:dyDescent="0.2">
      <c r="F14" s="13"/>
      <c r="G14" s="13"/>
      <c r="H14" s="12"/>
    </row>
    <row r="15" spans="1:8" x14ac:dyDescent="0.2">
      <c r="F15" s="12"/>
      <c r="G15" s="12"/>
      <c r="H15" s="13"/>
    </row>
    <row r="16" spans="1:8" x14ac:dyDescent="0.2">
      <c r="F16" s="13"/>
      <c r="G16" s="13"/>
      <c r="H16" s="12"/>
    </row>
    <row r="17" spans="6:8" x14ac:dyDescent="0.2">
      <c r="F17" s="12"/>
      <c r="H17" s="13"/>
    </row>
    <row r="18" spans="6:8" x14ac:dyDescent="0.2">
      <c r="F18" s="13"/>
    </row>
    <row r="19" spans="6:8" x14ac:dyDescent="0.2">
      <c r="F19" s="1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grade_table</vt:lpstr>
      <vt:lpstr>Q1</vt:lpstr>
      <vt:lpstr>Q2</vt:lpstr>
      <vt:lpstr>Q3</vt:lpstr>
      <vt:lpstr>Q4</vt:lpstr>
      <vt:lpstr>qp_table</vt:lpstr>
      <vt:lpstr>quarter_grades</vt:lpstr>
      <vt:lpstr>Your_QP_table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Christopher</dc:creator>
  <cp:lastModifiedBy>Arnez, Paul</cp:lastModifiedBy>
  <dcterms:created xsi:type="dcterms:W3CDTF">2026-09-18T17:55:56Z</dcterms:created>
  <dcterms:modified xsi:type="dcterms:W3CDTF">2026-10-01T17:43:52Z</dcterms:modified>
</cp:coreProperties>
</file>